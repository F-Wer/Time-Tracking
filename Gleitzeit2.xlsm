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/>
  <bookViews>
    <workbookView xWindow="10545" yWindow="300" windowWidth="14400" windowHeight="14415"/>
  </bookViews>
  <sheets>
    <sheet name="V 2.03" sheetId="1" r:id="rId1"/>
    <sheet name="Tabelle1" sheetId="2" state="hidden" r:id="rId2"/>
  </sheets>
  <definedNames>
    <definedName name="A_buch">'V 2.03'!$D$14</definedName>
    <definedName name="A_ist">'V 2.03'!$D$3</definedName>
    <definedName name="A_lang">'V 2.03'!$D$4</definedName>
    <definedName name="A_max">'V 2.03'!$D$5</definedName>
    <definedName name="A_min">'V 2.03'!$D$6</definedName>
    <definedName name="A_soll">'V 2.03'!$D$7</definedName>
    <definedName name="A2_buch">'V 2.03'!$D$16</definedName>
    <definedName name="A2_ist">'V 2.03'!$D$15</definedName>
    <definedName name="G_ist">'V 2.03'!$D$13</definedName>
    <definedName name="G2_ist">'V 2.03'!$D$17</definedName>
    <definedName name="Kommen">'V 2.03'!$D$1</definedName>
    <definedName name="P_buch">'V 2.03'!$D$11</definedName>
    <definedName name="P_ist">'V 2.03'!$D$8</definedName>
    <definedName name="P_lang">'V 2.03'!$D$9</definedName>
    <definedName name="P_lg">#REF!</definedName>
    <definedName name="P_min">'V 2.03'!$D$10</definedName>
    <definedName name="P_soll">'V 2.03'!$D$12</definedName>
    <definedName name="T_Jetzt">'V 2.03'!$D$2</definedName>
  </definedNames>
  <calcPr calcId="145621"/>
</workbook>
</file>

<file path=xl/calcChain.xml><?xml version="1.0" encoding="utf-8"?>
<calcChain xmlns="http://schemas.openxmlformats.org/spreadsheetml/2006/main">
  <c r="N21" i="1" l="1"/>
  <c r="N19" i="1" l="1"/>
  <c r="D1" i="1"/>
  <c r="F21" i="1" s="1"/>
  <c r="D2" i="1"/>
  <c r="D7" i="1"/>
  <c r="D11" i="1"/>
  <c r="I21" i="1" s="1"/>
  <c r="D3" i="1" l="1"/>
  <c r="H17" i="1" s="1"/>
  <c r="H6" i="1"/>
  <c r="D14" i="1" l="1"/>
  <c r="D12" i="1" s="1"/>
  <c r="D8" i="1" s="1"/>
  <c r="I6" i="1" l="1"/>
  <c r="H12" i="1"/>
  <c r="H13" i="1"/>
  <c r="H10" i="1"/>
  <c r="H15" i="1"/>
  <c r="J6" i="1"/>
  <c r="D13" i="1"/>
  <c r="D19" i="1" l="1"/>
  <c r="M2" i="1"/>
  <c r="M21" i="1"/>
  <c r="D15" i="1"/>
  <c r="D16" i="1" s="1"/>
  <c r="H21" i="1" s="1"/>
  <c r="D17" i="1" s="1"/>
  <c r="M1" i="1"/>
  <c r="J17" i="1"/>
  <c r="D18" i="1"/>
  <c r="I15" i="1"/>
  <c r="J4" i="1"/>
  <c r="J3" i="1"/>
  <c r="J19" i="1" s="1"/>
  <c r="N4" i="1" s="1"/>
  <c r="L22" i="1" l="1"/>
  <c r="N6" i="1" s="1"/>
  <c r="J21" i="1"/>
  <c r="L21" i="1" s="1"/>
  <c r="H22" i="1"/>
</calcChain>
</file>

<file path=xl/sharedStrings.xml><?xml version="1.0" encoding="utf-8"?>
<sst xmlns="http://schemas.openxmlformats.org/spreadsheetml/2006/main" count="74" uniqueCount="71">
  <si>
    <t>schon heimgehen?</t>
  </si>
  <si>
    <t>Kommen-Buchung:</t>
  </si>
  <si>
    <t>1.</t>
  </si>
  <si>
    <t>2.</t>
  </si>
  <si>
    <t>bis</t>
  </si>
  <si>
    <t>Pause gebucht von</t>
  </si>
  <si>
    <t>Dauer</t>
  </si>
  <si>
    <t>Pause Soll</t>
  </si>
  <si>
    <t>Pause Ist</t>
  </si>
  <si>
    <t xml:space="preserve">Pausenberechnung </t>
  </si>
  <si>
    <t>30 Min ab:</t>
  </si>
  <si>
    <t>Soll-Arbeitszeit:</t>
  </si>
  <si>
    <t>Anwesenheitszeit bis jetzt:</t>
  </si>
  <si>
    <t>Kommen</t>
  </si>
  <si>
    <t>T_jetzt</t>
  </si>
  <si>
    <t>A_ist</t>
  </si>
  <si>
    <t>A_lang</t>
  </si>
  <si>
    <t>A_max</t>
  </si>
  <si>
    <t>A_min</t>
  </si>
  <si>
    <t>A_soll</t>
  </si>
  <si>
    <t>P_ist</t>
  </si>
  <si>
    <t>P_lang</t>
  </si>
  <si>
    <t>P_min</t>
  </si>
  <si>
    <t>P_buch</t>
  </si>
  <si>
    <t>P_soll</t>
  </si>
  <si>
    <t>G_ist</t>
  </si>
  <si>
    <t>A_buch</t>
  </si>
  <si>
    <t>spätestens gehen um:</t>
  </si>
  <si>
    <t>Gleitzeit:</t>
  </si>
  <si>
    <t xml:space="preserve">weitere 15 Min ab:   </t>
  </si>
  <si>
    <t>erreicht um:</t>
  </si>
  <si>
    <t>bereits geleistet</t>
  </si>
  <si>
    <t>fehlt noch</t>
  </si>
  <si>
    <t>Gehen</t>
  </si>
  <si>
    <t>A2_ist</t>
  </si>
  <si>
    <t>Pause gebucht</t>
  </si>
  <si>
    <t>G2_ist</t>
  </si>
  <si>
    <t>Tagessaldo</t>
  </si>
  <si>
    <t>Uhrzeit der Kommen-Buchung</t>
  </si>
  <si>
    <t>aktuelle Uhrzeit</t>
  </si>
  <si>
    <t>Soll-Arbeitszeit pro Tag</t>
  </si>
  <si>
    <t>tatsächlich verrechnete Pause</t>
  </si>
  <si>
    <t>Standard-Pause</t>
  </si>
  <si>
    <t>längere Pause (ab 9 Std. Arbeitszeit)</t>
  </si>
  <si>
    <t>Arbeitszeit maximal</t>
  </si>
  <si>
    <t>ab dieser Arbeitszeit längere Pause</t>
  </si>
  <si>
    <t>ab dieser Arbeitszeit Standard-Pause</t>
  </si>
  <si>
    <t>gebuchte Pause</t>
  </si>
  <si>
    <t>Brutto-Anwesenheit: gebuchte Pausen nicht berücksichtigt</t>
  </si>
  <si>
    <t>Netto-Anwesenheit: gebuchte Pausen sind berücksichtigt</t>
  </si>
  <si>
    <t>Soll-(Zwangs-)Pause</t>
  </si>
  <si>
    <t>tatsächlich verrechnete Arbeitszeit: gebuchte und Zwangs-Pausen sind berücksichtigt</t>
  </si>
  <si>
    <t>AdHoc: Brutto-Anwesenheit: gebuchte Pausen nicht berücksichtigt</t>
  </si>
  <si>
    <t>AdHoc: tatsächlich verrechnete Arbeitszeit: gebuchte und Zwangs-Pausen sind berücksichtigt</t>
  </si>
  <si>
    <t>A2_buch</t>
  </si>
  <si>
    <t>AdHoc: Netto-Anwes.: gebuchte Pausen sind berücks.</t>
  </si>
  <si>
    <t>Dezizahl Saldo</t>
  </si>
  <si>
    <t>Restliche Zeit</t>
  </si>
  <si>
    <t>Hochrechnung:</t>
  </si>
  <si>
    <t>Dezimalgleitzeit</t>
  </si>
  <si>
    <t>Prozent der Arbeitszeit</t>
  </si>
  <si>
    <t>Wunschgehen RestZeit</t>
  </si>
  <si>
    <t>Gesamtarbeitszeit</t>
  </si>
  <si>
    <t>Zeit bis Mittag</t>
  </si>
  <si>
    <t>Mittag</t>
  </si>
  <si>
    <t>Darf ich jetzt</t>
  </si>
  <si>
    <t>Countdown Sollgehzeit</t>
  </si>
  <si>
    <t>Countdown Wunschgehzeit</t>
  </si>
  <si>
    <t>Überstunden IST:</t>
  </si>
  <si>
    <t>Überstunden morgen:</t>
  </si>
  <si>
    <t>Überstunden Wunschgeh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</si>
</sst>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:mm:ss;@"/>
    <numFmt numFmtId="165" formatCode="h:mm;@"/>
  </numFmts>
  <fonts count="30" x14ac:knownFonts="1">
    <font>
      <sz val="10"/>
      <name val="Arial"/>
    </font>
    <font>
      <b/>
      <sz val="18"/>
      <name val="Verdana"/>
      <family val="2"/>
    </font>
    <font>
      <b/>
      <sz val="20"/>
      <color indexed="48"/>
      <name val="Verdana"/>
      <family val="2"/>
    </font>
    <font>
      <sz val="10"/>
      <name val="Verdana"/>
      <family val="2"/>
    </font>
    <font>
      <sz val="14"/>
      <name val="Verdana"/>
      <family val="2"/>
    </font>
    <font>
      <b/>
      <sz val="20"/>
      <color indexed="10"/>
      <name val="Verdana"/>
      <family val="2"/>
    </font>
    <font>
      <b/>
      <sz val="18"/>
      <color indexed="14"/>
      <name val="Verdana"/>
      <family val="2"/>
    </font>
    <font>
      <sz val="14"/>
      <color indexed="14"/>
      <name val="Verdana"/>
      <family val="2"/>
    </font>
    <font>
      <b/>
      <sz val="18"/>
      <color indexed="12"/>
      <name val="Verdana"/>
      <family val="2"/>
    </font>
    <font>
      <sz val="18"/>
      <color indexed="12"/>
      <name val="Verdana"/>
      <family val="2"/>
    </font>
    <font>
      <b/>
      <sz val="20"/>
      <color indexed="12"/>
      <name val="Verdana"/>
      <family val="2"/>
    </font>
    <font>
      <b/>
      <sz val="18"/>
      <color indexed="10"/>
      <name val="Verdana"/>
      <family val="2"/>
    </font>
    <font>
      <b/>
      <sz val="16"/>
      <color indexed="52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2"/>
      <name val="Verdana"/>
      <family val="2"/>
    </font>
    <font>
      <b/>
      <sz val="16"/>
      <color indexed="10"/>
      <name val="Verdana"/>
      <family val="2"/>
    </font>
    <font>
      <b/>
      <sz val="16"/>
      <color indexed="12"/>
      <name val="Verdana"/>
      <family val="2"/>
    </font>
    <font>
      <b/>
      <sz val="12"/>
      <color indexed="53"/>
      <name val="Arial"/>
      <family val="2"/>
    </font>
    <font>
      <sz val="10"/>
      <color indexed="12"/>
      <name val="Arial"/>
      <family val="2"/>
    </font>
    <font>
      <b/>
      <sz val="14"/>
      <name val="Verdana"/>
      <family val="2"/>
    </font>
    <font>
      <b/>
      <sz val="16"/>
      <color theme="1" tint="4.9989318521683403E-2"/>
      <name val="Verdana"/>
      <family val="2"/>
    </font>
    <font>
      <b/>
      <sz val="16"/>
      <color rgb="FF00B050"/>
      <name val="Verdana"/>
      <family val="2"/>
    </font>
    <font>
      <b/>
      <sz val="20"/>
      <color rgb="FFFF0000"/>
      <name val="Verdana"/>
      <family val="2"/>
    </font>
    <font>
      <b/>
      <u/>
      <sz val="22"/>
      <color rgb="FFFF0000"/>
      <name val="Arial"/>
      <family val="2"/>
    </font>
    <font>
      <sz val="10"/>
      <color rgb="FFFF0000"/>
      <name val="Arial"/>
      <family val="2"/>
    </font>
    <font>
      <sz val="10"/>
      <color theme="3"/>
      <name val="Arial"/>
      <family val="2"/>
    </font>
    <font>
      <sz val="10"/>
      <color rgb="FF00B050"/>
      <name val="Arial"/>
      <family val="2"/>
    </font>
    <font>
      <sz val="10"/>
      <color rgb="FFC0000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3" fillId="2" borderId="0" xfId="0" applyFont="1" applyFill="1" applyBorder="1" applyAlignment="1" applyProtection="1">
      <alignment horizontal="left"/>
    </xf>
    <xf numFmtId="20" fontId="4" fillId="2" borderId="0" xfId="0" applyNumberFormat="1" applyFont="1" applyFill="1" applyBorder="1" applyAlignment="1" applyProtection="1">
      <alignment horizontal="left" vertical="center"/>
    </xf>
    <xf numFmtId="20" fontId="13" fillId="2" borderId="0" xfId="0" applyNumberFormat="1" applyFont="1" applyFill="1" applyBorder="1" applyAlignment="1" applyProtection="1">
      <alignment horizontal="left"/>
    </xf>
    <xf numFmtId="20" fontId="15" fillId="2" borderId="0" xfId="0" applyNumberFormat="1" applyFont="1" applyFill="1" applyBorder="1" applyAlignment="1" applyProtection="1">
      <alignment horizontal="center" vertical="center"/>
    </xf>
    <xf numFmtId="20" fontId="17" fillId="2" borderId="0" xfId="0" applyNumberFormat="1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left"/>
    </xf>
    <xf numFmtId="20" fontId="0" fillId="0" borderId="0" xfId="0" applyNumberForma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left"/>
    </xf>
    <xf numFmtId="0" fontId="14" fillId="3" borderId="0" xfId="0" applyFont="1" applyFill="1" applyBorder="1" applyAlignment="1" applyProtection="1">
      <alignment horizontal="left" wrapText="1"/>
    </xf>
    <xf numFmtId="20" fontId="0" fillId="3" borderId="0" xfId="0" applyNumberFormat="1" applyFill="1" applyBorder="1" applyAlignment="1" applyProtection="1">
      <alignment horizontal="center"/>
    </xf>
    <xf numFmtId="0" fontId="1" fillId="3" borderId="0" xfId="0" applyFont="1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center" vertical="center"/>
    </xf>
    <xf numFmtId="0" fontId="3" fillId="3" borderId="0" xfId="0" applyFont="1" applyFill="1" applyBorder="1" applyAlignment="1" applyProtection="1">
      <alignment horizontal="left"/>
    </xf>
    <xf numFmtId="0" fontId="13" fillId="3" borderId="0" xfId="0" applyFont="1" applyFill="1" applyBorder="1" applyAlignment="1" applyProtection="1">
      <alignment horizontal="left"/>
    </xf>
    <xf numFmtId="20" fontId="1" fillId="3" borderId="0" xfId="0" applyNumberFormat="1" applyFont="1" applyFill="1" applyBorder="1" applyAlignment="1" applyProtection="1">
      <alignment horizontal="left" vertical="center"/>
    </xf>
    <xf numFmtId="20" fontId="1" fillId="3" borderId="0" xfId="0" applyNumberFormat="1" applyFont="1" applyFill="1" applyBorder="1" applyAlignment="1" applyProtection="1">
      <alignment horizontal="center" vertical="center"/>
    </xf>
    <xf numFmtId="20" fontId="2" fillId="3" borderId="0" xfId="0" applyNumberFormat="1" applyFont="1" applyFill="1" applyBorder="1" applyAlignment="1" applyProtection="1">
      <alignment horizontal="center" vertical="center"/>
    </xf>
    <xf numFmtId="20" fontId="4" fillId="3" borderId="0" xfId="0" applyNumberFormat="1" applyFont="1" applyFill="1" applyBorder="1" applyAlignment="1" applyProtection="1">
      <alignment horizontal="left" vertical="center"/>
    </xf>
    <xf numFmtId="20" fontId="4" fillId="3" borderId="0" xfId="0" applyNumberFormat="1" applyFont="1" applyFill="1" applyBorder="1" applyAlignment="1" applyProtection="1">
      <alignment horizontal="center" vertical="center"/>
    </xf>
    <xf numFmtId="20" fontId="8" fillId="3" borderId="0" xfId="0" applyNumberFormat="1" applyFont="1" applyFill="1" applyBorder="1" applyAlignment="1" applyProtection="1">
      <alignment horizontal="center" vertical="center"/>
    </xf>
    <xf numFmtId="20" fontId="9" fillId="3" borderId="0" xfId="0" applyNumberFormat="1" applyFont="1" applyFill="1" applyBorder="1" applyAlignment="1" applyProtection="1">
      <alignment horizontal="center" vertical="center"/>
    </xf>
    <xf numFmtId="20" fontId="4" fillId="3" borderId="0" xfId="0" applyNumberFormat="1" applyFont="1" applyFill="1" applyBorder="1" applyAlignment="1" applyProtection="1">
      <alignment horizontal="right" vertical="center"/>
    </xf>
    <xf numFmtId="20" fontId="7" fillId="3" borderId="0" xfId="0" applyNumberFormat="1" applyFont="1" applyFill="1" applyBorder="1" applyAlignment="1" applyProtection="1">
      <alignment horizontal="left" vertical="center"/>
    </xf>
    <xf numFmtId="20" fontId="5" fillId="3" borderId="0" xfId="0" applyNumberFormat="1" applyFont="1" applyFill="1" applyBorder="1" applyAlignment="1" applyProtection="1">
      <alignment horizontal="center" vertical="center"/>
    </xf>
    <xf numFmtId="20" fontId="6" fillId="3" borderId="0" xfId="0" applyNumberFormat="1" applyFont="1" applyFill="1" applyBorder="1" applyAlignment="1" applyProtection="1">
      <alignment horizontal="center" vertical="center" wrapText="1"/>
    </xf>
    <xf numFmtId="20" fontId="0" fillId="3" borderId="0" xfId="0" applyNumberFormat="1" applyFill="1" applyBorder="1" applyAlignment="1" applyProtection="1">
      <alignment horizontal="left"/>
    </xf>
    <xf numFmtId="20" fontId="5" fillId="2" borderId="0" xfId="0" applyNumberFormat="1" applyFont="1" applyFill="1" applyBorder="1" applyAlignment="1" applyProtection="1">
      <alignment horizontal="center" vertical="center"/>
      <protection locked="0"/>
    </xf>
    <xf numFmtId="2" fontId="4" fillId="3" borderId="0" xfId="0" applyNumberFormat="1" applyFont="1" applyFill="1" applyBorder="1" applyAlignment="1" applyProtection="1">
      <alignment horizontal="left" vertical="center"/>
    </xf>
    <xf numFmtId="20" fontId="18" fillId="2" borderId="0" xfId="0" applyNumberFormat="1" applyFont="1" applyFill="1" applyBorder="1" applyAlignment="1" applyProtection="1"/>
    <xf numFmtId="2" fontId="21" fillId="2" borderId="0" xfId="0" applyNumberFormat="1" applyFont="1" applyFill="1" applyBorder="1" applyAlignment="1" applyProtection="1">
      <alignment horizontal="left" vertical="center"/>
    </xf>
    <xf numFmtId="2" fontId="4" fillId="3" borderId="0" xfId="0" applyNumberFormat="1" applyFont="1" applyFill="1" applyBorder="1" applyAlignment="1" applyProtection="1">
      <alignment horizontal="center" vertical="center"/>
    </xf>
    <xf numFmtId="20" fontId="20" fillId="2" borderId="0" xfId="0" applyNumberFormat="1" applyFont="1" applyFill="1" applyBorder="1" applyAlignment="1" applyProtection="1">
      <alignment horizontal="left" vertical="center"/>
    </xf>
    <xf numFmtId="20" fontId="22" fillId="2" borderId="0" xfId="0" applyNumberFormat="1" applyFont="1" applyFill="1" applyBorder="1" applyAlignment="1" applyProtection="1">
      <alignment horizontal="center" vertical="center"/>
    </xf>
    <xf numFmtId="20" fontId="23" fillId="3" borderId="0" xfId="0" applyNumberFormat="1" applyFont="1" applyFill="1" applyBorder="1" applyAlignment="1" applyProtection="1">
      <alignment horizontal="center" vertical="center"/>
    </xf>
    <xf numFmtId="20" fontId="13" fillId="3" borderId="0" xfId="0" applyNumberFormat="1" applyFont="1" applyFill="1" applyBorder="1" applyAlignment="1" applyProtection="1">
      <alignment horizontal="left"/>
    </xf>
    <xf numFmtId="0" fontId="0" fillId="3" borderId="0" xfId="0" applyNumberFormat="1" applyFill="1" applyBorder="1" applyAlignment="1" applyProtection="1">
      <alignment horizontal="left"/>
    </xf>
    <xf numFmtId="10" fontId="0" fillId="3" borderId="0" xfId="0" applyNumberFormat="1" applyFill="1" applyBorder="1" applyAlignment="1" applyProtection="1">
      <alignment horizontal="center"/>
    </xf>
    <xf numFmtId="19" fontId="13" fillId="3" borderId="0" xfId="0" applyNumberFormat="1" applyFont="1" applyFill="1" applyBorder="1" applyAlignment="1" applyProtection="1">
      <alignment horizontal="left"/>
    </xf>
    <xf numFmtId="19" fontId="0" fillId="3" borderId="0" xfId="0" applyNumberFormat="1" applyFill="1" applyBorder="1" applyAlignment="1" applyProtection="1">
      <alignment horizontal="left"/>
    </xf>
    <xf numFmtId="20" fontId="4" fillId="3" borderId="0" xfId="0" applyNumberFormat="1" applyFont="1" applyFill="1" applyBorder="1" applyAlignment="1" applyProtection="1">
      <alignment horizontal="left" vertical="center" wrapText="1"/>
    </xf>
    <xf numFmtId="21" fontId="10" fillId="3" borderId="0" xfId="0" applyNumberFormat="1" applyFont="1" applyFill="1" applyBorder="1" applyAlignment="1" applyProtection="1">
      <alignment horizontal="center" vertical="center"/>
      <protection locked="0"/>
    </xf>
    <xf numFmtId="164" fontId="4" fillId="3" borderId="0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Border="1" applyAlignment="1" applyProtection="1">
      <alignment horizontal="left"/>
    </xf>
    <xf numFmtId="20" fontId="19" fillId="3" borderId="0" xfId="0" applyNumberFormat="1" applyFont="1" applyFill="1" applyBorder="1" applyAlignment="1" applyProtection="1">
      <alignment horizontal="left"/>
    </xf>
    <xf numFmtId="20" fontId="10" fillId="3" borderId="0" xfId="0" applyNumberFormat="1" applyFont="1" applyFill="1" applyBorder="1" applyAlignment="1" applyProtection="1">
      <alignment horizontal="center" vertical="center"/>
    </xf>
    <xf numFmtId="0" fontId="24" fillId="0" borderId="0" xfId="0" applyFont="1" applyBorder="1" applyAlignment="1" applyProtection="1">
      <alignment horizontal="left"/>
    </xf>
    <xf numFmtId="20" fontId="16" fillId="2" borderId="0" xfId="0" applyNumberFormat="1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left"/>
    </xf>
    <xf numFmtId="0" fontId="0" fillId="0" borderId="0" xfId="0" applyBorder="1" applyAlignment="1" applyProtection="1">
      <alignment horizontal="center"/>
    </xf>
    <xf numFmtId="20" fontId="0" fillId="0" borderId="0" xfId="0" applyNumberFormat="1" applyBorder="1" applyAlignment="1" applyProtection="1">
      <alignment horizontal="left"/>
    </xf>
    <xf numFmtId="0" fontId="13" fillId="0" borderId="0" xfId="0" applyFont="1" applyBorder="1" applyAlignment="1" applyProtection="1">
      <alignment horizontal="left"/>
    </xf>
    <xf numFmtId="0" fontId="0" fillId="0" borderId="0" xfId="0" applyNumberForma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left"/>
    </xf>
    <xf numFmtId="0" fontId="13" fillId="0" borderId="0" xfId="0" applyFont="1" applyBorder="1" applyAlignment="1" applyProtection="1">
      <alignment horizontal="center"/>
    </xf>
    <xf numFmtId="20" fontId="25" fillId="0" borderId="0" xfId="0" applyNumberFormat="1" applyFont="1" applyBorder="1" applyAlignment="1" applyProtection="1">
      <alignment horizontal="center"/>
    </xf>
    <xf numFmtId="20" fontId="26" fillId="0" borderId="0" xfId="0" applyNumberFormat="1" applyFont="1" applyBorder="1" applyAlignment="1" applyProtection="1">
      <alignment horizontal="left"/>
    </xf>
    <xf numFmtId="0" fontId="27" fillId="0" borderId="0" xfId="0" applyFont="1" applyBorder="1" applyAlignment="1" applyProtection="1">
      <alignment horizontal="left"/>
    </xf>
    <xf numFmtId="20" fontId="0" fillId="0" borderId="0" xfId="0" applyNumberFormat="1" applyBorder="1" applyAlignment="1" applyProtection="1">
      <alignment horizontal="center"/>
    </xf>
    <xf numFmtId="0" fontId="0" fillId="0" borderId="0" xfId="0" applyProtection="1"/>
    <xf numFmtId="0" fontId="28" fillId="0" borderId="0" xfId="0" applyFont="1" applyProtection="1"/>
    <xf numFmtId="20" fontId="5" fillId="2" borderId="0" xfId="0" applyNumberFormat="1" applyFont="1" applyFill="1" applyBorder="1" applyAlignment="1" applyProtection="1">
      <alignment horizontal="center" vertical="center"/>
    </xf>
    <xf numFmtId="165" fontId="16" fillId="3" borderId="1" xfId="0" applyNumberFormat="1" applyFont="1" applyFill="1" applyBorder="1" applyAlignment="1" applyProtection="1">
      <alignment horizontal="center" vertical="center"/>
      <protection locked="0"/>
    </xf>
    <xf numFmtId="165" fontId="10" fillId="2" borderId="0" xfId="0" applyNumberFormat="1" applyFont="1" applyFill="1" applyBorder="1" applyAlignment="1" applyProtection="1">
      <alignment horizontal="center" vertical="center"/>
    </xf>
    <xf numFmtId="165" fontId="0" fillId="3" borderId="0" xfId="0" applyNumberFormat="1" applyFill="1" applyBorder="1" applyAlignment="1" applyProtection="1">
      <alignment horizontal="center"/>
    </xf>
    <xf numFmtId="20" fontId="8" fillId="3" borderId="0" xfId="0" applyNumberFormat="1" applyFont="1" applyFill="1" applyBorder="1" applyAlignment="1" applyProtection="1">
      <alignment horizontal="center" vertical="center"/>
    </xf>
    <xf numFmtId="20" fontId="11" fillId="3" borderId="0" xfId="0" applyNumberFormat="1" applyFont="1" applyFill="1" applyBorder="1" applyAlignment="1" applyProtection="1">
      <alignment horizontal="center" vertical="center"/>
    </xf>
    <xf numFmtId="20" fontId="3" fillId="2" borderId="0" xfId="0" applyNumberFormat="1" applyFont="1" applyFill="1" applyBorder="1" applyAlignment="1" applyProtection="1">
      <alignment horizontal="center" vertical="center" wrapText="1"/>
    </xf>
    <xf numFmtId="20" fontId="12" fillId="3" borderId="0" xfId="0" applyNumberFormat="1" applyFont="1" applyFill="1" applyBorder="1" applyAlignment="1" applyProtection="1">
      <alignment horizontal="center" vertical="center" wrapText="1"/>
    </xf>
    <xf numFmtId="2" fontId="4" fillId="2" borderId="0" xfId="0" applyNumberFormat="1" applyFont="1" applyFill="1" applyBorder="1" applyAlignment="1" applyProtection="1">
      <alignment horizontal="left" vertical="center"/>
    </xf>
  </cellXfs>
  <cellStyles count="1">
    <cellStyle name="Standard" xfId="0" builtinId="0"/>
  </cellStyles>
  <dxfs count="5">
    <dxf>
      <font>
        <color rgb="FF9C0006"/>
      </font>
    </dxf>
    <dxf>
      <font>
        <condense val="0"/>
        <extend val="0"/>
        <color indexed="38"/>
      </font>
    </dxf>
    <dxf>
      <font>
        <condense val="0"/>
        <extend val="0"/>
        <color indexed="38"/>
      </font>
    </dxf>
    <dxf>
      <font>
        <condense val="0"/>
        <extend val="0"/>
        <color indexed="38"/>
      </font>
    </dxf>
    <dxf>
      <font>
        <condense val="0"/>
        <extend val="0"/>
        <color indexed="3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5"/>
      <c:hPercent val="300"/>
      <c:rotY val="20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841846094428889"/>
          <c:y val="0.17670752034513187"/>
          <c:w val="0.50847597897902042"/>
          <c:h val="0.73092656142759094"/>
        </c:manualLayout>
      </c:layout>
      <c:pie3DChart>
        <c:varyColors val="1"/>
        <c:ser>
          <c:idx val="0"/>
          <c:order val="0"/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</c:spPr>
          <c:explosion val="23"/>
          <c:dPt>
            <c:idx val="0"/>
            <c:bubble3D val="0"/>
            <c:spPr>
              <a:gradFill rotWithShape="0">
                <a:gsLst>
                  <a:gs pos="0">
                    <a:srgbClr val="00FF00"/>
                  </a:gs>
                  <a:gs pos="100000">
                    <a:srgbClr val="00800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bubble3D val="0"/>
            <c:spPr>
              <a:gradFill rotWithShape="0">
                <a:gsLst>
                  <a:gs pos="0">
                    <a:srgbClr val="FF0000"/>
                  </a:gs>
                  <a:gs pos="100000">
                    <a:srgbClr val="80000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dLbl>
              <c:idx val="0"/>
              <c:layout>
                <c:manualLayout>
                  <c:x val="-1.234597135518469E-2"/>
                  <c:y val="0.39064185061146822"/>
                </c:manualLayout>
              </c:layout>
              <c:numFmt formatCode="0%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</c:spPr>
              <c:txPr>
                <a:bodyPr/>
                <a:lstStyle/>
                <a:p>
                  <a:pPr algn="ctr" rtl="1">
                    <a:defRPr sz="900" b="1" i="0" u="none" strike="noStrike" baseline="0">
                      <a:solidFill>
                        <a:srgbClr val="00808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e-DE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6765165446874238E-2"/>
                  <c:y val="-0.36749553133388074"/>
                </c:manualLayout>
              </c:layout>
              <c:numFmt formatCode="0%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</c:spPr>
              <c:txPr>
                <a:bodyPr/>
                <a:lstStyle/>
                <a:p>
                  <a:pPr algn="ctr" rtl="1">
                    <a:defRPr sz="900" b="1" i="0" u="none" strike="noStrike" baseline="0">
                      <a:solidFill>
                        <a:srgbClr val="FF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e-DE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numFmt formatCode="0%" sourceLinked="0"/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  <c:txPr>
              <a:bodyPr/>
              <a:lstStyle/>
              <a:p>
                <a:pPr algn="ctr" rtl="1"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</c:dLbls>
          <c:cat>
            <c:strRef>
              <c:f>'V 2.03'!$I$3:$I$4</c:f>
              <c:strCache>
                <c:ptCount val="2"/>
                <c:pt idx="0">
                  <c:v>bereits geleistet</c:v>
                </c:pt>
                <c:pt idx="1">
                  <c:v>fehlt noch</c:v>
                </c:pt>
              </c:strCache>
            </c:strRef>
          </c:cat>
          <c:val>
            <c:numRef>
              <c:f>'V 2.03'!$J$3:$J$4</c:f>
              <c:numCache>
                <c:formatCode>h:mm</c:formatCode>
                <c:ptCount val="2"/>
                <c:pt idx="0">
                  <c:v>0.28573402777417667</c:v>
                </c:pt>
                <c:pt idx="1">
                  <c:v>3.9265972225823342E-2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5"/>
      <c:hPercent val="300"/>
      <c:rotY val="20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7069404612993941"/>
          <c:y val="0.20482202365153793"/>
          <c:w val="0.82922567660220725"/>
          <c:h val="0.7926031437081601"/>
        </c:manualLayout>
      </c:layout>
      <c:pie3DChart>
        <c:varyColors val="1"/>
        <c:ser>
          <c:idx val="0"/>
          <c:order val="0"/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gradFill rotWithShape="0">
                <a:gsLst>
                  <a:gs pos="0">
                    <a:srgbClr val="00FF00"/>
                  </a:gs>
                  <a:gs pos="100000">
                    <a:srgbClr val="00800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bubble3D val="0"/>
            <c:explosion val="37"/>
            <c:spPr>
              <a:gradFill rotWithShape="0">
                <a:gsLst>
                  <a:gs pos="0">
                    <a:srgbClr val="FF0000"/>
                  </a:gs>
                  <a:gs pos="100000">
                    <a:srgbClr val="80000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dLbl>
              <c:idx val="0"/>
              <c:numFmt formatCode="0%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</c:spPr>
              <c:txPr>
                <a:bodyPr/>
                <a:lstStyle/>
                <a:p>
                  <a:pPr algn="ctr" rtl="1">
                    <a:defRPr sz="900" b="1" i="0" u="none" strike="noStrike" baseline="0">
                      <a:solidFill>
                        <a:srgbClr val="00808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e-D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-7.2681481390782093E-2"/>
                  <c:y val="-0.21357684499678459"/>
                </c:manualLayout>
              </c:layout>
              <c:numFmt formatCode="0%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</c:spPr>
              <c:txPr>
                <a:bodyPr/>
                <a:lstStyle/>
                <a:p>
                  <a:pPr algn="ctr" rtl="1">
                    <a:defRPr sz="900" b="1" i="0" u="none" strike="noStrike" baseline="0">
                      <a:solidFill>
                        <a:srgbClr val="FF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e-DE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numFmt formatCode="0%" sourceLinked="0"/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  <c:txPr>
              <a:bodyPr/>
              <a:lstStyle/>
              <a:p>
                <a:pPr algn="ctr" rtl="1"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</c:dLbls>
          <c:cat>
            <c:strRef>
              <c:f>('V 2.03'!$I$3,'V 2.03'!$N$20)</c:f>
              <c:strCache>
                <c:ptCount val="2"/>
                <c:pt idx="0">
                  <c:v>bereits geleistet</c:v>
                </c:pt>
                <c:pt idx="1">
                  <c:v>Restliche Zeit</c:v>
                </c:pt>
              </c:strCache>
            </c:strRef>
          </c:cat>
          <c:val>
            <c:numRef>
              <c:f>('V 2.03'!$J$3,'V 2.03'!$N$21)</c:f>
              <c:numCache>
                <c:formatCode>h:mm</c:formatCode>
                <c:ptCount val="2"/>
                <c:pt idx="0">
                  <c:v>0.28573402777417667</c:v>
                </c:pt>
                <c:pt idx="1">
                  <c:v>0.11913194444444442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381000</xdr:colOff>
      <xdr:row>8</xdr:row>
      <xdr:rowOff>95250</xdr:rowOff>
    </xdr:from>
    <xdr:to>
      <xdr:col>12</xdr:col>
      <xdr:colOff>371475</xdr:colOff>
      <xdr:row>16</xdr:row>
      <xdr:rowOff>95250</xdr:rowOff>
    </xdr:to>
    <xdr:graphicFrame macro="">
      <xdr:nvGraphicFramePr>
        <xdr:cNvPr id="2088597" name="Diagram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752475</xdr:colOff>
      <xdr:row>8</xdr:row>
      <xdr:rowOff>238125</xdr:rowOff>
    </xdr:from>
    <xdr:to>
      <xdr:col>14</xdr:col>
      <xdr:colOff>114300</xdr:colOff>
      <xdr:row>18</xdr:row>
      <xdr:rowOff>28575</xdr:rowOff>
    </xdr:to>
    <xdr:graphicFrame macro="">
      <xdr:nvGraphicFramePr>
        <xdr:cNvPr id="2088598" name="Diagram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2</xdr:row>
          <xdr:rowOff>28575</xdr:rowOff>
        </xdr:from>
        <xdr:to>
          <xdr:col>11</xdr:col>
          <xdr:colOff>1914525</xdr:colOff>
          <xdr:row>4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Essen, Gehen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1952625</xdr:colOff>
          <xdr:row>2</xdr:row>
          <xdr:rowOff>38100</xdr:rowOff>
        </xdr:from>
        <xdr:to>
          <xdr:col>12</xdr:col>
          <xdr:colOff>1123950</xdr:colOff>
          <xdr:row>4</xdr:row>
          <xdr:rowOff>428625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Timer starten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123825</xdr:colOff>
          <xdr:row>4</xdr:row>
          <xdr:rowOff>457200</xdr:rowOff>
        </xdr:from>
        <xdr:to>
          <xdr:col>12</xdr:col>
          <xdr:colOff>1095375</xdr:colOff>
          <xdr:row>7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Timer stoppen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0.17047</cdr:x>
      <cdr:y>0.07746</cdr:y>
    </cdr:from>
    <cdr:to>
      <cdr:x>0.39566</cdr:x>
      <cdr:y>0.17606</cdr:y>
    </cdr:to>
    <cdr:sp macro="" textlink="">
      <cdr:nvSpPr>
        <cdr:cNvPr id="2" name="Textfeld 1"/>
        <cdr:cNvSpPr txBox="1"/>
      </cdr:nvSpPr>
      <cdr:spPr>
        <a:xfrm xmlns:a="http://schemas.openxmlformats.org/drawingml/2006/main">
          <a:off x="907676" y="184897"/>
          <a:ext cx="1199030" cy="2353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de-DE" sz="1100"/>
            <a:t>Sollgehzeit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0.42275</cdr:x>
      <cdr:y>0.20615</cdr:y>
    </cdr:from>
    <cdr:to>
      <cdr:x>0.81669</cdr:x>
      <cdr:y>0.36437</cdr:y>
    </cdr:to>
    <cdr:sp macro="" textlink="">
      <cdr:nvSpPr>
        <cdr:cNvPr id="2" name="Textfeld 1"/>
        <cdr:cNvSpPr txBox="1"/>
      </cdr:nvSpPr>
      <cdr:spPr>
        <a:xfrm xmlns:a="http://schemas.openxmlformats.org/drawingml/2006/main">
          <a:off x="2302547" y="670633"/>
          <a:ext cx="2145642" cy="5147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 b="0" i="0" baseline="0">
              <a:effectLst/>
              <a:latin typeface="+mn-lt"/>
              <a:ea typeface="+mn-ea"/>
              <a:cs typeface="+mn-cs"/>
            </a:rPr>
            <a:t>Wunschgehzeit</a:t>
          </a:r>
          <a:endParaRPr lang="de-DE">
            <a:effectLst/>
          </a:endParaRPr>
        </a:p>
      </cdr:txBody>
    </cdr:sp>
  </cdr:relSizeAnchor>
</c:userShape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O33"/>
  <sheetViews>
    <sheetView tabSelected="1" topLeftCell="E1" zoomScale="85" zoomScaleNormal="85" workbookViewId="0">
      <selection activeCell="G22" sqref="G22"/>
    </sheetView>
  </sheetViews>
  <sheetFormatPr baseColWidth="10" defaultColWidth="0" defaultRowHeight="12.75" zeroHeight="1" x14ac:dyDescent="0.2"/>
  <cols>
    <col min="1" max="1" width="3.140625" style="43" hidden="1" customWidth="1"/>
    <col min="2" max="2" width="8.5703125" style="48" hidden="1" customWidth="1"/>
    <col min="3" max="3" width="53.5703125" style="48" hidden="1" customWidth="1"/>
    <col min="4" max="4" width="31.7109375" style="7" hidden="1" customWidth="1"/>
    <col min="5" max="5" width="24" style="43" customWidth="1"/>
    <col min="6" max="6" width="17.85546875" style="49" customWidth="1"/>
    <col min="7" max="7" width="21.42578125" style="49" bestFit="1" customWidth="1"/>
    <col min="8" max="8" width="17" style="43" customWidth="1"/>
    <col min="9" max="9" width="23.42578125" style="43" customWidth="1"/>
    <col min="10" max="10" width="31.28515625" style="43" customWidth="1"/>
    <col min="11" max="11" width="4.5703125" style="43" hidden="1" customWidth="1"/>
    <col min="12" max="12" width="39.5703125" style="43" bestFit="1" customWidth="1"/>
    <col min="13" max="13" width="27.42578125" style="43" bestFit="1" customWidth="1"/>
    <col min="14" max="14" width="36.28515625" style="50" customWidth="1"/>
    <col min="15" max="15" width="0" style="43" hidden="1" customWidth="1"/>
    <col min="16" max="16384" width="11.42578125" style="43" hidden="1"/>
  </cols>
  <sheetData>
    <row r="1" spans="1:15" ht="45.75" customHeight="1" x14ac:dyDescent="0.2">
      <c r="A1" s="39">
        <v>0.66319444444444442</v>
      </c>
      <c r="B1" s="8" t="s">
        <v>13</v>
      </c>
      <c r="C1" s="9" t="s">
        <v>38</v>
      </c>
      <c r="D1" s="64">
        <f>H3</f>
        <v>0.31111111111111112</v>
      </c>
      <c r="E1" s="11" t="s">
        <v>65</v>
      </c>
      <c r="F1" s="12"/>
      <c r="G1" s="41">
        <v>0.63086805555555558</v>
      </c>
      <c r="H1" s="11" t="s">
        <v>0</v>
      </c>
      <c r="I1" s="13"/>
      <c r="J1" s="13"/>
      <c r="K1" s="13"/>
      <c r="L1" s="40" t="s">
        <v>66</v>
      </c>
      <c r="M1" s="42">
        <f ca="1">IF(H10-G1&lt;0,0,H10-G1)</f>
        <v>3.9270833333333255E-2</v>
      </c>
      <c r="N1" s="18" t="s">
        <v>68</v>
      </c>
    </row>
    <row r="2" spans="1:15" ht="27" customHeight="1" x14ac:dyDescent="0.2">
      <c r="A2" s="14"/>
      <c r="B2" s="8" t="s">
        <v>14</v>
      </c>
      <c r="C2" s="9" t="s">
        <v>39</v>
      </c>
      <c r="D2" s="64">
        <f ca="1">NOW()-TODAY()</f>
        <v>0.63087291666306555</v>
      </c>
      <c r="E2" s="15"/>
      <c r="F2" s="16"/>
      <c r="G2" s="17"/>
      <c r="H2" s="18"/>
      <c r="I2" s="44"/>
      <c r="J2" s="44"/>
      <c r="K2" s="18"/>
      <c r="L2" s="18" t="s">
        <v>67</v>
      </c>
      <c r="M2" s="42">
        <f>IF(G21-G1&lt;0,0,G21-G1)</f>
        <v>0.11913194444444442</v>
      </c>
      <c r="N2" s="28">
        <v>7.5</v>
      </c>
    </row>
    <row r="3" spans="1:15" ht="24" customHeight="1" x14ac:dyDescent="0.2">
      <c r="A3" s="14"/>
      <c r="B3" s="8" t="s">
        <v>15</v>
      </c>
      <c r="C3" s="9" t="s">
        <v>48</v>
      </c>
      <c r="D3" s="64">
        <f ca="1">T_Jetzt-Kommen</f>
        <v>0.31976180555195444</v>
      </c>
      <c r="E3" s="18" t="s">
        <v>1</v>
      </c>
      <c r="F3" s="19"/>
      <c r="G3" s="18"/>
      <c r="H3" s="27">
        <v>0.31111111111111112</v>
      </c>
      <c r="I3" s="44" t="s">
        <v>31</v>
      </c>
      <c r="J3" s="44">
        <f ca="1">G_ist</f>
        <v>0.28573402777417667</v>
      </c>
      <c r="K3" s="18"/>
      <c r="L3" s="18"/>
      <c r="M3" s="18"/>
      <c r="N3" s="18" t="s">
        <v>69</v>
      </c>
    </row>
    <row r="4" spans="1:15" ht="15.75" customHeight="1" x14ac:dyDescent="0.2">
      <c r="A4" s="14"/>
      <c r="B4" s="8" t="s">
        <v>16</v>
      </c>
      <c r="C4" s="9" t="s">
        <v>45</v>
      </c>
      <c r="D4" s="64">
        <v>0.375</v>
      </c>
      <c r="E4" s="18"/>
      <c r="F4" s="19"/>
      <c r="G4" s="18"/>
      <c r="H4" s="17"/>
      <c r="I4" s="44" t="s">
        <v>32</v>
      </c>
      <c r="J4" s="44">
        <f ca="1">IF(A_soll&gt;G_ist,A_soll-G_ist,0)</f>
        <v>3.9265972225823342E-2</v>
      </c>
      <c r="K4" s="18"/>
      <c r="L4" s="18"/>
      <c r="M4" s="18"/>
      <c r="N4" s="28">
        <f ca="1">(N2+J19)</f>
        <v>6.5576166665802402</v>
      </c>
    </row>
    <row r="5" spans="1:15" ht="45.75" customHeight="1" x14ac:dyDescent="0.2">
      <c r="A5" s="14"/>
      <c r="B5" s="8" t="s">
        <v>17</v>
      </c>
      <c r="C5" s="9" t="s">
        <v>44</v>
      </c>
      <c r="D5" s="64">
        <v>0.41666666666666669</v>
      </c>
      <c r="E5" s="18" t="s">
        <v>5</v>
      </c>
      <c r="F5" s="19"/>
      <c r="G5" s="19" t="s">
        <v>4</v>
      </c>
      <c r="H5" s="19" t="s">
        <v>6</v>
      </c>
      <c r="I5" s="19" t="s">
        <v>7</v>
      </c>
      <c r="J5" s="19" t="s">
        <v>8</v>
      </c>
      <c r="K5" s="18"/>
      <c r="L5" s="18"/>
      <c r="M5" s="18"/>
      <c r="N5" s="18" t="s">
        <v>70</v>
      </c>
    </row>
    <row r="6" spans="1:15" ht="23.25" customHeight="1" x14ac:dyDescent="0.2">
      <c r="A6" s="14"/>
      <c r="B6" s="8" t="s">
        <v>18</v>
      </c>
      <c r="C6" s="9" t="s">
        <v>46</v>
      </c>
      <c r="D6" s="64">
        <v>0.25</v>
      </c>
      <c r="E6" s="19" t="s">
        <v>2</v>
      </c>
      <c r="F6" s="61">
        <v>0.47291666666666665</v>
      </c>
      <c r="G6" s="61">
        <v>0.50694444444444442</v>
      </c>
      <c r="H6" s="65">
        <f>P_buch</f>
        <v>3.4027777777777768E-2</v>
      </c>
      <c r="I6" s="65">
        <f ca="1">P_soll</f>
        <v>2.0833333333333332E-2</v>
      </c>
      <c r="J6" s="66">
        <f ca="1">P_ist</f>
        <v>3.4027777777777768E-2</v>
      </c>
      <c r="K6" s="18"/>
      <c r="L6" s="18"/>
      <c r="M6" s="18"/>
      <c r="N6" s="28">
        <f>(N2+L22)</f>
        <v>10.233333333333334</v>
      </c>
    </row>
    <row r="7" spans="1:15" ht="24" customHeight="1" x14ac:dyDescent="0.2">
      <c r="A7" s="38">
        <v>0.66313657407407411</v>
      </c>
      <c r="B7" s="8" t="s">
        <v>19</v>
      </c>
      <c r="C7" s="9" t="s">
        <v>40</v>
      </c>
      <c r="D7" s="64">
        <f>H9</f>
        <v>0.32500000000000001</v>
      </c>
      <c r="E7" s="19" t="s">
        <v>3</v>
      </c>
      <c r="F7" s="61"/>
      <c r="G7" s="61"/>
      <c r="H7" s="65"/>
      <c r="I7" s="65"/>
      <c r="J7" s="66"/>
      <c r="K7" s="18"/>
      <c r="L7" s="18"/>
      <c r="M7" s="18"/>
      <c r="N7" s="18"/>
    </row>
    <row r="8" spans="1:15" ht="32.25" customHeight="1" x14ac:dyDescent="0.2">
      <c r="A8" s="14"/>
      <c r="B8" s="8" t="s">
        <v>20</v>
      </c>
      <c r="C8" s="9" t="s">
        <v>41</v>
      </c>
      <c r="D8" s="64">
        <f ca="1">MAX(P_soll,P_buch)</f>
        <v>3.4027777777777768E-2</v>
      </c>
      <c r="E8" s="19"/>
      <c r="F8" s="21"/>
      <c r="G8" s="21"/>
      <c r="H8" s="20"/>
      <c r="I8" s="20"/>
      <c r="J8" s="20"/>
      <c r="K8" s="18"/>
      <c r="L8" s="18"/>
      <c r="M8" s="18"/>
      <c r="N8" s="18"/>
    </row>
    <row r="9" spans="1:15" ht="37.5" customHeight="1" x14ac:dyDescent="0.2">
      <c r="A9" s="14"/>
      <c r="B9" s="8" t="s">
        <v>21</v>
      </c>
      <c r="C9" s="9" t="s">
        <v>43</v>
      </c>
      <c r="D9" s="64">
        <v>3.125E-2</v>
      </c>
      <c r="E9" s="18" t="s">
        <v>11</v>
      </c>
      <c r="F9" s="19"/>
      <c r="G9" s="19"/>
      <c r="H9" s="45">
        <v>0.32500000000000001</v>
      </c>
      <c r="I9" s="20"/>
      <c r="J9" s="20"/>
      <c r="K9" s="18"/>
      <c r="L9" s="18"/>
      <c r="M9" s="18"/>
      <c r="N9" s="18"/>
    </row>
    <row r="10" spans="1:15" ht="22.5" customHeight="1" x14ac:dyDescent="0.2">
      <c r="A10" s="14"/>
      <c r="B10" s="8" t="s">
        <v>22</v>
      </c>
      <c r="C10" s="9" t="s">
        <v>42</v>
      </c>
      <c r="D10" s="64">
        <v>2.0833333333333332E-2</v>
      </c>
      <c r="E10" s="18" t="s">
        <v>30</v>
      </c>
      <c r="F10" s="19"/>
      <c r="G10" s="19"/>
      <c r="H10" s="63">
        <f ca="1">Kommen+A_soll+MAX(P_ist,P_min)</f>
        <v>0.67013888888888884</v>
      </c>
      <c r="I10" s="20"/>
      <c r="J10" s="20"/>
      <c r="K10" s="18"/>
      <c r="L10" s="18"/>
      <c r="M10" s="18"/>
      <c r="N10" s="18"/>
    </row>
    <row r="11" spans="1:15" ht="19.5" customHeight="1" x14ac:dyDescent="0.2">
      <c r="A11" s="14"/>
      <c r="B11" s="8" t="s">
        <v>23</v>
      </c>
      <c r="C11" s="9" t="s">
        <v>47</v>
      </c>
      <c r="D11" s="64">
        <f>IF((G6-F6+G7-F7)&gt;0,G6-F6+G7-F7,0)</f>
        <v>3.4027777777777768E-2</v>
      </c>
      <c r="E11" s="18"/>
      <c r="F11" s="19"/>
      <c r="G11" s="19"/>
      <c r="H11" s="19"/>
      <c r="I11" s="18"/>
      <c r="J11" s="18"/>
      <c r="K11" s="18"/>
      <c r="L11" s="18"/>
      <c r="M11" s="18"/>
      <c r="N11" s="18"/>
    </row>
    <row r="12" spans="1:15" ht="22.5" customHeight="1" x14ac:dyDescent="0.4">
      <c r="A12" s="14"/>
      <c r="B12" s="8" t="s">
        <v>24</v>
      </c>
      <c r="C12" s="9" t="s">
        <v>50</v>
      </c>
      <c r="D12" s="64">
        <f ca="1">IF(A_buch&gt;A_lang,P_lang,IF(A_buch&gt;A_min,P_min,0))</f>
        <v>2.0833333333333332E-2</v>
      </c>
      <c r="E12" s="18" t="s">
        <v>9</v>
      </c>
      <c r="F12" s="19"/>
      <c r="G12" s="19" t="s">
        <v>10</v>
      </c>
      <c r="H12" s="20" t="str">
        <f ca="1">IF(P_ist&gt;=P_min,"eh scho!",Kommen+A_min+P_buch)</f>
        <v>eh scho!</v>
      </c>
      <c r="I12" s="68"/>
      <c r="J12" s="68"/>
      <c r="K12" s="68"/>
      <c r="L12" s="18"/>
      <c r="M12" s="18"/>
      <c r="N12" s="18"/>
      <c r="O12" s="46"/>
    </row>
    <row r="13" spans="1:15" ht="22.5" customHeight="1" x14ac:dyDescent="0.2">
      <c r="A13" s="14"/>
      <c r="B13" s="8" t="s">
        <v>25</v>
      </c>
      <c r="C13" s="9" t="s">
        <v>51</v>
      </c>
      <c r="D13" s="64">
        <f ca="1">A_ist-P_ist</f>
        <v>0.28573402777417667</v>
      </c>
      <c r="E13" s="18"/>
      <c r="F13" s="19"/>
      <c r="G13" s="22" t="s">
        <v>29</v>
      </c>
      <c r="H13" s="20" t="str">
        <f ca="1">IF(P_ist&gt;=P_lang,"eh scho!",Kommen+A_lang+MAX(P_min:P_buch))</f>
        <v>eh scho!</v>
      </c>
      <c r="I13" s="68"/>
      <c r="J13" s="68"/>
      <c r="K13" s="68"/>
      <c r="L13" s="18"/>
      <c r="M13" s="18"/>
      <c r="N13" s="18"/>
    </row>
    <row r="14" spans="1:15" ht="20.25" customHeight="1" x14ac:dyDescent="0.2">
      <c r="A14" s="14"/>
      <c r="B14" s="8" t="s">
        <v>26</v>
      </c>
      <c r="C14" s="9" t="s">
        <v>49</v>
      </c>
      <c r="D14" s="64">
        <f ca="1">A_ist-P_buch</f>
        <v>0.28573402777417667</v>
      </c>
      <c r="E14" s="18"/>
      <c r="F14" s="19"/>
      <c r="G14" s="19"/>
      <c r="H14" s="19"/>
      <c r="I14" s="23"/>
      <c r="J14" s="23"/>
      <c r="K14" s="23"/>
      <c r="L14" s="18"/>
      <c r="M14" s="18"/>
      <c r="N14" s="18"/>
    </row>
    <row r="15" spans="1:15" ht="27.75" customHeight="1" x14ac:dyDescent="0.2">
      <c r="A15" s="14"/>
      <c r="B15" s="8" t="s">
        <v>34</v>
      </c>
      <c r="C15" s="9" t="s">
        <v>52</v>
      </c>
      <c r="D15" s="64">
        <f>G21-F21</f>
        <v>0.43888888888888888</v>
      </c>
      <c r="E15" s="18" t="s">
        <v>27</v>
      </c>
      <c r="F15" s="19"/>
      <c r="G15" s="19"/>
      <c r="H15" s="24">
        <f ca="1">Kommen+A_max+MAX(P_ist,P_lang)</f>
        <v>0.76180555555555562</v>
      </c>
      <c r="I15" s="68" t="str">
        <f ca="1">IF(G_ist&gt;A_max,"Höchstarbeitszeit um "&amp;TEXT(G_ist-A_max,"hh:mm")&amp;" überschritten!!!","")</f>
        <v/>
      </c>
      <c r="J15" s="68"/>
      <c r="K15" s="68"/>
      <c r="L15" s="18"/>
      <c r="M15" s="18"/>
      <c r="N15" s="18"/>
    </row>
    <row r="16" spans="1:15" ht="14.25" customHeight="1" x14ac:dyDescent="0.2">
      <c r="A16" s="14"/>
      <c r="B16" s="8" t="s">
        <v>54</v>
      </c>
      <c r="C16" s="9" t="s">
        <v>55</v>
      </c>
      <c r="D16" s="64">
        <f>A2_ist-I21</f>
        <v>0.40486111111111112</v>
      </c>
      <c r="E16" s="19"/>
      <c r="F16" s="19"/>
      <c r="G16" s="19"/>
      <c r="H16" s="19"/>
      <c r="I16" s="25"/>
      <c r="J16" s="25"/>
      <c r="K16" s="25"/>
      <c r="L16" s="18"/>
      <c r="M16" s="18"/>
      <c r="N16" s="18"/>
    </row>
    <row r="17" spans="1:14" ht="26.25" customHeight="1" x14ac:dyDescent="0.2">
      <c r="A17" s="14"/>
      <c r="B17" s="8" t="s">
        <v>36</v>
      </c>
      <c r="C17" s="9" t="s">
        <v>53</v>
      </c>
      <c r="D17" s="64">
        <f>A2_ist-MAX(H21,I21)</f>
        <v>0.40486111111111112</v>
      </c>
      <c r="E17" s="18" t="s">
        <v>12</v>
      </c>
      <c r="F17" s="19"/>
      <c r="G17" s="19"/>
      <c r="H17" s="24">
        <f ca="1">A_ist</f>
        <v>0.31976180555195444</v>
      </c>
      <c r="I17" s="18" t="s">
        <v>28</v>
      </c>
      <c r="J17" s="34">
        <f ca="1">IF(G_ist-A_soll&gt;0,G_ist-A_soll,A_soll-G_ist)</f>
        <v>3.9265972225823342E-2</v>
      </c>
      <c r="K17" s="18"/>
      <c r="L17" s="18"/>
      <c r="M17" s="18"/>
      <c r="N17" s="18"/>
    </row>
    <row r="18" spans="1:14" ht="58.5" customHeight="1" x14ac:dyDescent="0.2">
      <c r="A18" s="14"/>
      <c r="B18" s="35"/>
      <c r="C18" s="35" t="s">
        <v>60</v>
      </c>
      <c r="D18" s="37">
        <f ca="1">A_soll/A_soll-G_ist</f>
        <v>0.71426597222582333</v>
      </c>
      <c r="E18" s="18"/>
      <c r="F18" s="19"/>
      <c r="G18" s="19"/>
      <c r="H18" s="19"/>
      <c r="I18" s="18"/>
      <c r="J18" s="28"/>
      <c r="K18" s="18"/>
      <c r="L18" s="18"/>
      <c r="M18" s="18"/>
      <c r="N18" s="18"/>
    </row>
    <row r="19" spans="1:14" ht="58.5" customHeight="1" x14ac:dyDescent="0.2">
      <c r="A19" s="14"/>
      <c r="B19" s="36" t="s">
        <v>61</v>
      </c>
      <c r="C19" s="36"/>
      <c r="D19" s="10">
        <f>N21</f>
        <v>0.11913194444444442</v>
      </c>
      <c r="E19" s="18"/>
      <c r="F19" s="19"/>
      <c r="G19" s="19"/>
      <c r="H19" s="19"/>
      <c r="I19" s="19" t="s">
        <v>59</v>
      </c>
      <c r="J19" s="31">
        <f ca="1">(J3*24-7.8)</f>
        <v>-0.94238333341975977</v>
      </c>
      <c r="K19" s="18"/>
      <c r="L19" s="18"/>
      <c r="M19" s="18" t="s">
        <v>63</v>
      </c>
      <c r="N19" s="18">
        <f>IF(D20-G1&lt;0,0,D20-G1)</f>
        <v>0</v>
      </c>
    </row>
    <row r="20" spans="1:14" ht="18" x14ac:dyDescent="0.2">
      <c r="A20" s="36"/>
      <c r="B20" s="26" t="s">
        <v>64</v>
      </c>
      <c r="C20" s="10"/>
      <c r="D20" s="26">
        <v>0.5</v>
      </c>
      <c r="E20" s="67" t="s">
        <v>58</v>
      </c>
      <c r="F20" s="4" t="s">
        <v>13</v>
      </c>
      <c r="G20" s="4" t="s">
        <v>33</v>
      </c>
      <c r="H20" s="4" t="s">
        <v>7</v>
      </c>
      <c r="I20" s="4" t="s">
        <v>35</v>
      </c>
      <c r="J20" s="4" t="s">
        <v>37</v>
      </c>
      <c r="K20" s="2"/>
      <c r="L20" s="2" t="s">
        <v>56</v>
      </c>
      <c r="M20" s="2" t="s">
        <v>62</v>
      </c>
      <c r="N20" s="2" t="s">
        <v>57</v>
      </c>
    </row>
    <row r="21" spans="1:14" ht="19.5" x14ac:dyDescent="0.2">
      <c r="A21" s="26"/>
      <c r="B21" s="26"/>
      <c r="C21" s="26"/>
      <c r="D21" s="26"/>
      <c r="E21" s="67"/>
      <c r="F21" s="47">
        <f>Kommen</f>
        <v>0.31111111111111112</v>
      </c>
      <c r="G21" s="62">
        <v>0.75</v>
      </c>
      <c r="H21" s="5">
        <f>IF((A2_ist-P_min)&gt;A_lang,P_lang,IF(A2_buch&gt;A_min,P_min,0))</f>
        <v>3.125E-2</v>
      </c>
      <c r="I21" s="47">
        <f>P_buch</f>
        <v>3.4027777777777768E-2</v>
      </c>
      <c r="J21" s="33">
        <f>IF(G2_ist-A_soll&gt;0,G2_ist-A_soll,A_soll-G2_ist)</f>
        <v>7.9861111111111105E-2</v>
      </c>
      <c r="K21" s="2"/>
      <c r="L21" s="30">
        <f>IF(J21*24&gt;7.8,J21*24,J21*24)</f>
        <v>1.9166666666666665</v>
      </c>
      <c r="M21" s="32">
        <f>IF(G21-F21&lt;0,0,G21-F21)</f>
        <v>0.43888888888888888</v>
      </c>
      <c r="N21" s="32">
        <f>IF(G21-G1&lt;0,0,G21-G1)</f>
        <v>0.11913194444444442</v>
      </c>
    </row>
    <row r="22" spans="1:14" ht="71.25" customHeight="1" x14ac:dyDescent="0.25">
      <c r="A22" s="26"/>
      <c r="B22" s="26"/>
      <c r="C22" s="26"/>
      <c r="D22" s="26"/>
      <c r="E22" s="1"/>
      <c r="F22" s="1"/>
      <c r="G22" s="3"/>
      <c r="H22" s="29" t="str">
        <f>IF(G2_ist&gt;A_max,"Höchstarbeitszeit um "&amp;TEXT(G2_ist-A_max,"hh:mm")&amp;" überschritten!!!","")</f>
        <v/>
      </c>
      <c r="I22" s="29"/>
      <c r="J22" s="4" t="s">
        <v>59</v>
      </c>
      <c r="K22" s="2"/>
      <c r="L22" s="69">
        <f>(M21*24-7.8)</f>
        <v>2.7333333333333334</v>
      </c>
      <c r="M22" s="2"/>
      <c r="N22" s="32"/>
    </row>
    <row r="23" spans="1:14" hidden="1" x14ac:dyDescent="0.2"/>
    <row r="24" spans="1:14" hidden="1" x14ac:dyDescent="0.2">
      <c r="C24" s="6"/>
    </row>
    <row r="25" spans="1:14" hidden="1" x14ac:dyDescent="0.2">
      <c r="C25" s="6"/>
      <c r="E25" s="50"/>
      <c r="M25" s="51"/>
    </row>
    <row r="26" spans="1:14" hidden="1" x14ac:dyDescent="0.2">
      <c r="G26" s="52"/>
      <c r="I26" s="53"/>
    </row>
    <row r="27" spans="1:14" hidden="1" x14ac:dyDescent="0.2">
      <c r="F27" s="54"/>
      <c r="G27" s="55"/>
      <c r="H27" s="56"/>
      <c r="I27" s="57"/>
      <c r="L27" s="53"/>
    </row>
    <row r="28" spans="1:14" hidden="1" x14ac:dyDescent="0.2">
      <c r="H28" s="50"/>
      <c r="L28" s="53"/>
    </row>
    <row r="29" spans="1:14" hidden="1" x14ac:dyDescent="0.2"/>
    <row r="30" spans="1:14" hidden="1" x14ac:dyDescent="0.2">
      <c r="G30" s="58"/>
    </row>
    <row r="31" spans="1:14" hidden="1" x14ac:dyDescent="0.2">
      <c r="H31" s="59"/>
      <c r="J31" s="60"/>
    </row>
    <row r="32" spans="1:14" hidden="1" x14ac:dyDescent="0.2"/>
    <row r="33" spans="10:10" hidden="1" x14ac:dyDescent="0.2">
      <c r="J33" s="51"/>
    </row>
  </sheetData>
  <protectedRanges>
    <protectedRange sqref="H3 F6:G7 G21 G1 D20" name="Bereich1"/>
  </protectedRanges>
  <mergeCells count="6">
    <mergeCell ref="H6:H7"/>
    <mergeCell ref="I6:I7"/>
    <mergeCell ref="J6:J7"/>
    <mergeCell ref="E20:E21"/>
    <mergeCell ref="I15:K15"/>
    <mergeCell ref="I12:K13"/>
  </mergeCells>
  <phoneticPr fontId="14" type="noConversion"/>
  <conditionalFormatting sqref="H17 J17">
    <cfRule type="expression" dxfId="4" priority="4" stopIfTrue="1">
      <formula>G_ist&gt;A_soll</formula>
    </cfRule>
  </conditionalFormatting>
  <conditionalFormatting sqref="J21">
    <cfRule type="expression" dxfId="3" priority="5" stopIfTrue="1">
      <formula>G2_ist&gt;A_soll</formula>
    </cfRule>
  </conditionalFormatting>
  <conditionalFormatting sqref="J31">
    <cfRule type="expression" dxfId="2" priority="3" stopIfTrue="1">
      <formula>G_ist&gt;A_soll</formula>
    </cfRule>
  </conditionalFormatting>
  <conditionalFormatting sqref="H31">
    <cfRule type="expression" dxfId="1" priority="2" stopIfTrue="1">
      <formula>G2_ist&gt;A_soll</formula>
    </cfRule>
  </conditionalFormatting>
  <conditionalFormatting sqref="J19">
    <cfRule type="cellIs" dxfId="0" priority="1" stopIfTrue="1" operator="equal">
      <formula>$B$19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ignoredErrors>
    <ignoredError sqref="F21 I2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Eatsom" altText="Essen">
                <anchor moveWithCells="1" sizeWithCells="1">
                  <from>
                    <xdr:col>11</xdr:col>
                    <xdr:colOff>114300</xdr:colOff>
                    <xdr:row>2</xdr:row>
                    <xdr:rowOff>28575</xdr:rowOff>
                  </from>
                  <to>
                    <xdr:col>11</xdr:col>
                    <xdr:colOff>1914525</xdr:colOff>
                    <xdr:row>4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Timer">
                <anchor moveWithCells="1" sizeWithCells="1">
                  <from>
                    <xdr:col>11</xdr:col>
                    <xdr:colOff>1952625</xdr:colOff>
                    <xdr:row>2</xdr:row>
                    <xdr:rowOff>38100</xdr:rowOff>
                  </from>
                  <to>
                    <xdr:col>12</xdr:col>
                    <xdr:colOff>1123950</xdr:colOff>
                    <xdr:row>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topTimer">
                <anchor moveWithCells="1" sizeWithCells="1">
                  <from>
                    <xdr:col>11</xdr:col>
                    <xdr:colOff>123825</xdr:colOff>
                    <xdr:row>4</xdr:row>
                    <xdr:rowOff>457200</xdr:rowOff>
                  </from>
                  <to>
                    <xdr:col>12</xdr:col>
                    <xdr:colOff>1095375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"/>
  <sheetViews>
    <sheetView workbookViewId="0"/>
  </sheetViews>
  <sheetFormatPr baseColWidth="10" defaultColWidth="11.42578125" defaultRowHeight="12.75" x14ac:dyDescent="0.2"/>
  <sheetData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762C6BF-5326-4FAA-A7C7-108A41E098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17</vt:i4>
      </vt:variant>
    </vt:vector>
  </HeadingPairs>
  <TitlesOfParts>
    <vt:vector size="19" baseType="lpstr">
      <vt:lpstr>V 2.03</vt:lpstr>
      <vt:lpstr>Tabelle1</vt:lpstr>
      <vt:lpstr>A_buch</vt:lpstr>
      <vt:lpstr>A_ist</vt:lpstr>
      <vt:lpstr>A_lang</vt:lpstr>
      <vt:lpstr>A_max</vt:lpstr>
      <vt:lpstr>A_min</vt:lpstr>
      <vt:lpstr>A_soll</vt:lpstr>
      <vt:lpstr>A2_buch</vt:lpstr>
      <vt:lpstr>A2_ist</vt:lpstr>
      <vt:lpstr>G_ist</vt:lpstr>
      <vt:lpstr>G2_ist</vt:lpstr>
      <vt:lpstr>Kommen</vt:lpstr>
      <vt:lpstr>P_buch</vt:lpstr>
      <vt:lpstr>P_ist</vt:lpstr>
      <vt:lpstr>P_lang</vt:lpstr>
      <vt:lpstr>P_min</vt:lpstr>
      <vt:lpstr>P_soll</vt:lpstr>
      <vt:lpstr>T_Jetzt</vt:lpstr>
    </vt:vector>
  </TitlesOfParts>
  <Company>LBS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Werner, Fabian</dc:creator>
  <dc:description>das ultimative Tool für die korrekte Einhaltung der vorgeschriebenen Arbeitspausen.</dc:description>
  <cp:lastModifiedBy>Werner, Fabian</cp:lastModifiedBy>
  <cp:lastPrinted>2006-09-14T11:09:14Z</cp:lastPrinted>
  <dcterms:created xsi:type="dcterms:W3CDTF">2003-09-02T11:57:21Z</dcterms:created>
  <dcterms:modified xsi:type="dcterms:W3CDTF">2019-12-02T14:08:27Z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DV GUID">
    <vt:lpwstr>8edb67ce-d99d-4f8f-b055-06d5d8a7c7f7</vt:lpwstr>
  </property>
</Properties>
</file>